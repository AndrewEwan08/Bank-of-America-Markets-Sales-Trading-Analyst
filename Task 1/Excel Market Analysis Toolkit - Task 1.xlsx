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3" autoFilterDateGrouping="1"/>
  </bookViews>
  <sheets>
    <sheet xmlns:r="http://schemas.openxmlformats.org/officeDocument/2006/relationships" name="Welcome &amp; 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tor Performance" sheetId="3" state="visible" r:id="rId3"/>
    <sheet xmlns:r="http://schemas.openxmlformats.org/officeDocument/2006/relationships" name="Interest Rates" sheetId="4" state="visible" r:id="rId4"/>
    <sheet xmlns:r="http://schemas.openxmlformats.org/officeDocument/2006/relationships" name="Client Portfolio Summary" sheetId="5" state="visible" r:id="rId5"/>
    <sheet xmlns:r="http://schemas.openxmlformats.org/officeDocument/2006/relationships" name="Stock Trends" sheetId="6" state="visible" r:id="rId6"/>
    <sheet xmlns:r="http://schemas.openxmlformats.org/officeDocument/2006/relationships" name="Portfolio Risk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Glossary &amp; Functions" sheetId="9" state="visible" r:id="rId9"/>
  </sheets>
  <externalReferences>
    <externalReference xmlns:r="http://schemas.openxmlformats.org/officeDocument/2006/relationships" r:id="rId10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pivotButton="0" quotePrefix="0" xfId="0"/>
    <xf numFmtId="0" fontId="1" fillId="2" borderId="1" pivotButton="0" quotePrefix="0" xfId="0"/>
    <xf numFmtId="0" fontId="0" fillId="0" borderId="0" pivotButton="0" quotePrefix="0" xfId="0"/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2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0" pivotButton="0" quotePrefix="0" xfId="0"/>
    <xf numFmtId="0" fontId="3" fillId="3" borderId="1" pivotButton="0" quotePrefix="0" xfId="0"/>
    <xf numFmtId="0" fontId="0" fillId="3" borderId="13" pivotButton="0" quotePrefix="0" xfId="0"/>
    <xf numFmtId="0" fontId="0" fillId="3" borderId="14" pivotButton="0" quotePrefix="0" xfId="0"/>
    <xf numFmtId="0" fontId="1" fillId="2" borderId="10" applyAlignment="1" pivotButton="0" quotePrefix="0" xfId="0">
      <alignment horizontal="center" vertical="top"/>
    </xf>
    <xf numFmtId="0" fontId="1" fillId="2" borderId="11" applyAlignment="1" pivotButton="0" quotePrefix="0" xfId="0">
      <alignment horizontal="center" vertical="top"/>
    </xf>
    <xf numFmtId="0" fontId="1" fillId="2" borderId="12" applyAlignment="1" pivotButton="0" quotePrefix="0" xfId="0">
      <alignment horizontal="center" vertical="top"/>
    </xf>
    <xf numFmtId="0" fontId="0" fillId="3" borderId="15" pivotButton="0" quotePrefix="0" xfId="0"/>
    <xf numFmtId="0" fontId="0" fillId="3" borderId="16" pivotButton="0" quotePrefix="0" xfId="0"/>
    <xf numFmtId="0" fontId="0" fillId="3" borderId="17" pivotButton="0" quotePrefix="0" xfId="0"/>
    <xf numFmtId="0" fontId="3" fillId="0" borderId="13" pivotButton="0" quotePrefix="0" xfId="0"/>
    <xf numFmtId="0" fontId="3" fillId="3" borderId="13" pivotButton="0" quotePrefix="0" xfId="0"/>
    <xf numFmtId="0" fontId="3" fillId="0" borderId="15" pivotButton="0" quotePrefix="0" xfId="0"/>
    <xf numFmtId="0" fontId="1" fillId="2" borderId="18" applyAlignment="1" pivotButton="0" quotePrefix="0" xfId="0">
      <alignment horizontal="center" vertical="top"/>
    </xf>
    <xf numFmtId="0" fontId="0" fillId="0" borderId="19" pivotButton="0" quotePrefix="0" xfId="0"/>
    <xf numFmtId="0" fontId="0" fillId="3" borderId="19" pivotButton="0" quotePrefix="0" xfId="0"/>
    <xf numFmtId="0" fontId="0" fillId="3" borderId="2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164" fontId="0" fillId="0" borderId="14" pivotButton="0" quotePrefix="0" xfId="0"/>
    <xf numFmtId="10" fontId="0" fillId="3" borderId="14" pivotButton="0" quotePrefix="0" xfId="0"/>
    <xf numFmtId="9" fontId="0" fillId="0" borderId="17" pivotButton="0" quotePrefix="0" xfId="0"/>
    <xf numFmtId="0" fontId="1" fillId="2" borderId="10" pivotButton="0" quotePrefix="0" xfId="0"/>
    <xf numFmtId="0" fontId="1" fillId="2" borderId="13" pivotButton="0" quotePrefix="0" xfId="0"/>
    <xf numFmtId="0" fontId="1" fillId="2" borderId="14" pivotButton="0" quotePrefix="0" xfId="0"/>
    <xf numFmtId="164" fontId="0" fillId="0" borderId="14" pivotButton="0" quotePrefix="0" xfId="0"/>
    <xf numFmtId="0" fontId="0" fillId="0" borderId="14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JDodson\Downloads\Revised_Excel_Market_Analysis_Toolkit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SectorPerformance"/>
      <sheetName val="InterestRates"/>
      <sheetName val="ClientPortfolioSummary"/>
      <sheetName val="Recommendation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6" sqref="A16"/>
    </sheetView>
  </sheetViews>
  <sheetFormatPr baseColWidth="8" defaultRowHeight="14.75"/>
  <cols>
    <col width="80.81640625" customWidth="1" style="22" min="1" max="1"/>
    <col hidden="1" width="8.7265625" customWidth="1" style="22" min="2" max="3"/>
    <col hidden="1" width="6.81640625" customWidth="1" style="22" min="4" max="4"/>
    <col hidden="1" width="8.7265625" customWidth="1" style="22" min="5" max="6"/>
  </cols>
  <sheetData>
    <row r="1" ht="29.25" customFormat="1" customHeight="1" s="2">
      <c r="A1" s="3" t="inlineStr">
        <is>
          <t>Welcome to the Excel Market Analysis Toolkit!</t>
        </is>
      </c>
      <c r="B1" s="4" t="n"/>
      <c r="C1" s="4" t="n"/>
      <c r="D1" s="5" t="n"/>
      <c r="E1" s="4" t="n"/>
      <c r="F1" s="5" t="n"/>
    </row>
    <row r="2">
      <c r="A2" s="1" t="inlineStr">
        <is>
          <t>This toolkit is designed to help you analyze market trends, assess portfolio performance, and craft actionable recommendations.</t>
        </is>
      </c>
      <c r="D2" s="7" t="n"/>
      <c r="F2" s="7" t="n"/>
    </row>
    <row r="3">
      <c r="A3" s="6" t="n"/>
      <c r="D3" s="7" t="n"/>
      <c r="F3" s="7" t="n"/>
    </row>
    <row r="4">
      <c r="A4" s="13" t="inlineStr">
        <is>
          <t>How to Use This Toolkit:</t>
        </is>
      </c>
      <c r="D4" s="7" t="n"/>
      <c r="F4" s="7" t="n"/>
    </row>
    <row r="5">
      <c r="A5" s="1" t="inlineStr">
        <is>
          <t>1. Navigate through the tabs to access specific tools and datasets.</t>
        </is>
      </c>
      <c r="D5" s="7" t="n"/>
      <c r="F5" s="7" t="n"/>
    </row>
    <row r="6">
      <c r="A6" s="12" t="inlineStr">
        <is>
          <t>2. Explore each tab to complete your analysis.</t>
        </is>
      </c>
      <c r="D6" s="7" t="n"/>
      <c r="F6" s="7" t="n"/>
    </row>
    <row r="7">
      <c r="A7" s="1" t="inlineStr">
        <is>
          <t>3. Use the information to uncover trends and make data-driven decisions.</t>
        </is>
      </c>
      <c r="D7" s="7" t="n"/>
      <c r="F7" s="7" t="n"/>
    </row>
    <row r="8">
      <c r="A8" s="6" t="n"/>
      <c r="D8" s="7" t="n"/>
      <c r="F8" s="7" t="n"/>
    </row>
    <row r="9">
      <c r="A9" s="13" t="inlineStr">
        <is>
          <t>Tips for Non-Excel Users:</t>
        </is>
      </c>
      <c r="D9" s="7" t="n"/>
      <c r="F9" s="7" t="n"/>
    </row>
    <row r="10">
      <c r="A10" s="10" t="inlineStr">
        <is>
          <t>- Hover over cells with red corners for tooltips.</t>
        </is>
      </c>
      <c r="D10" s="7" t="n"/>
      <c r="F10" s="7" t="n"/>
    </row>
    <row r="11">
      <c r="A11" s="12" t="inlineStr">
        <is>
          <t>- Use the 'Help' tab for quick Excel function references.</t>
        </is>
      </c>
      <c r="D11" s="7" t="n"/>
      <c r="F11" s="7" t="n"/>
    </row>
    <row r="12">
      <c r="B12" s="8" t="n"/>
      <c r="C12" s="8" t="n"/>
      <c r="D12" s="9" t="n"/>
      <c r="E12" s="8" t="n"/>
      <c r="F12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C4" sqref="C4"/>
    </sheetView>
  </sheetViews>
  <sheetFormatPr baseColWidth="8" defaultRowHeight="14.75"/>
  <cols>
    <col width="21.7265625" customWidth="1" style="22" min="1" max="1"/>
    <col width="30.58984375" customWidth="1" style="22" min="2" max="2"/>
    <col width="34.76953125" customWidth="1" style="22" min="3" max="3"/>
    <col width="18.7265625" customWidth="1" style="22" min="4" max="4"/>
  </cols>
  <sheetData>
    <row r="1">
      <c r="A1" s="15" t="inlineStr">
        <is>
          <t>Metric</t>
        </is>
      </c>
      <c r="B1" s="16" t="inlineStr">
        <is>
          <t>Description</t>
        </is>
      </c>
      <c r="C1" s="16" t="inlineStr">
        <is>
          <t>Formula Example</t>
        </is>
      </c>
      <c r="D1" s="17" t="inlineStr">
        <is>
          <t>Instructions</t>
        </is>
      </c>
    </row>
    <row r="2">
      <c r="A2" s="32" t="inlineStr">
        <is>
          <t>Average Sector Return</t>
        </is>
      </c>
      <c r="B2" s="1" t="inlineStr">
        <is>
          <t>The average percentage return across sectors for the selected period.</t>
        </is>
      </c>
      <c r="C2" s="40" t="inlineStr">
        <is>
          <t>AVERAGE</t>
        </is>
      </c>
      <c r="D2" s="19" t="inlineStr">
        <is>
          <t>Analyze this metric to understand overall sector return trends.</t>
        </is>
      </c>
    </row>
    <row r="3">
      <c r="A3" s="33" t="inlineStr">
        <is>
          <t>Maximum Sector Return</t>
        </is>
      </c>
      <c r="B3" s="12" t="inlineStr">
        <is>
          <t>The highest percentage return observed in any sector during the selected period.</t>
        </is>
      </c>
      <c r="C3" s="41" t="inlineStr">
        <is>
          <t>MAX</t>
        </is>
      </c>
      <c r="D3" s="25" t="inlineStr">
        <is>
          <t>Use this metric to identify the strongest sector return in the selected period.</t>
        </is>
      </c>
    </row>
    <row r="4" ht="15.5" customHeight="1" s="22" thickBot="1">
      <c r="A4" s="34" t="inlineStr">
        <is>
          <t>Volatility Index</t>
        </is>
      </c>
      <c r="B4" s="20" t="inlineStr">
        <is>
          <t>A measure of variability or volatility in sector performance.</t>
        </is>
      </c>
      <c r="C4" s="42" t="inlineStr">
        <is>
          <t>STDEV</t>
        </is>
      </c>
      <c r="D4" s="21" t="inlineStr">
        <is>
          <t>High values indicate more volatility, requiring attention for risk management.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75"/>
  <cols>
    <col width="16.08984375" customWidth="1" style="22" min="1" max="1"/>
    <col width="18" customWidth="1" style="22" min="2" max="2"/>
    <col width="18" customWidth="1" style="22" min="3" max="3"/>
    <col width="18" customWidth="1" style="22" min="4" max="4"/>
    <col width="18" customWidth="1" style="22" min="5" max="5"/>
  </cols>
  <sheetData>
    <row r="1">
      <c r="A1" s="26" t="inlineStr">
        <is>
          <t>Sector</t>
        </is>
      </c>
      <c r="B1" s="27" t="inlineStr">
        <is>
          <t>Q1 Return (%)</t>
        </is>
      </c>
      <c r="C1" s="27" t="inlineStr">
        <is>
          <t>Q2 Return (%)</t>
        </is>
      </c>
      <c r="D1" s="27" t="inlineStr">
        <is>
          <t>Q3 Return (%)</t>
        </is>
      </c>
      <c r="E1" s="28" t="inlineStr">
        <is>
          <t>Q4 Return (%)</t>
        </is>
      </c>
    </row>
    <row r="2">
      <c r="A2" s="32" t="inlineStr">
        <is>
          <t>Technology</t>
        </is>
      </c>
      <c r="B2" s="1" t="n">
        <v>5.2</v>
      </c>
      <c r="C2" s="1" t="n">
        <v>6.5</v>
      </c>
      <c r="D2" s="1" t="n">
        <v>4.3</v>
      </c>
      <c r="E2" s="19" t="n">
        <v>3.9</v>
      </c>
    </row>
    <row r="3">
      <c r="A3" s="33" t="inlineStr">
        <is>
          <t>Healthcare</t>
        </is>
      </c>
      <c r="B3" s="12" t="n">
        <v>-2.3</v>
      </c>
      <c r="C3" s="12" t="n">
        <v>-1.4</v>
      </c>
      <c r="D3" s="12" t="n">
        <v>0.5</v>
      </c>
      <c r="E3" s="25" t="n">
        <v>1.1</v>
      </c>
    </row>
    <row r="4">
      <c r="A4" s="32" t="inlineStr">
        <is>
          <t>Financials</t>
        </is>
      </c>
      <c r="B4" s="1" t="n">
        <v>3.4</v>
      </c>
      <c r="C4" s="1" t="n">
        <v>2.8</v>
      </c>
      <c r="D4" s="1" t="n">
        <v>1.2</v>
      </c>
      <c r="E4" s="19" t="n">
        <v>2.5</v>
      </c>
    </row>
    <row r="5">
      <c r="A5" s="33" t="inlineStr">
        <is>
          <t>Energy</t>
        </is>
      </c>
      <c r="B5" s="12" t="n">
        <v>7.8</v>
      </c>
      <c r="C5" s="12" t="n">
        <v>5.6</v>
      </c>
      <c r="D5" s="12" t="n">
        <v>-0.8</v>
      </c>
      <c r="E5" s="25" t="n">
        <v>-1.1</v>
      </c>
    </row>
    <row r="6" ht="15.5" customHeight="1" s="22" thickBot="1">
      <c r="A6" s="34" t="inlineStr">
        <is>
          <t>Consumer Goods</t>
        </is>
      </c>
      <c r="B6" s="20" t="n">
        <v>1.1</v>
      </c>
      <c r="C6" s="20" t="n">
        <v>3.2</v>
      </c>
      <c r="D6" s="20" t="n">
        <v>2.4</v>
      </c>
      <c r="E6" s="21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C13" sqref="C13"/>
    </sheetView>
  </sheetViews>
  <sheetFormatPr baseColWidth="8" defaultRowHeight="14.75"/>
  <cols>
    <col width="10.5" customWidth="1" style="22" min="1" max="1"/>
    <col width="17.86328125" customWidth="1" style="22" min="2" max="2"/>
    <col width="21.08984375" customWidth="1" style="22" min="3" max="3"/>
    <col width="20.1328125" customWidth="1" style="22" min="4" max="5"/>
    <col width="15.81640625" customWidth="1" style="22" min="6" max="6"/>
    <col width="25.453125" customWidth="1" style="22" min="7" max="7"/>
  </cols>
  <sheetData>
    <row r="1">
      <c r="A1" s="26" t="inlineStr">
        <is>
          <t>Date</t>
        </is>
      </c>
      <c r="B1" s="27" t="inlineStr">
        <is>
          <t>Interest Rate (%)</t>
        </is>
      </c>
      <c r="C1" s="35" t="inlineStr">
        <is>
          <t>Technology Impact (%)</t>
        </is>
      </c>
      <c r="D1" s="26" t="inlineStr">
        <is>
          <t>Healthcare Impact (%)</t>
        </is>
      </c>
      <c r="E1" s="27" t="inlineStr">
        <is>
          <t>Financials Impact (%)</t>
        </is>
      </c>
      <c r="F1" s="27" t="inlineStr">
        <is>
          <t>Energy Impact (%)</t>
        </is>
      </c>
      <c r="G1" s="28" t="inlineStr">
        <is>
          <t>Consumer Goods Impact (%)</t>
        </is>
      </c>
    </row>
    <row r="2">
      <c r="A2" s="18" t="inlineStr">
        <is>
          <t>2025-01-01</t>
        </is>
      </c>
      <c r="B2" s="1" t="n">
        <v>2.5</v>
      </c>
      <c r="C2" s="36" t="n">
        <v>1.5</v>
      </c>
      <c r="D2" s="18" t="n">
        <v>1.2</v>
      </c>
      <c r="E2" s="1" t="n">
        <v>0.8</v>
      </c>
      <c r="F2" s="1" t="n">
        <v>2</v>
      </c>
      <c r="G2" s="19" t="n">
        <v>1</v>
      </c>
    </row>
    <row r="3">
      <c r="A3" s="24" t="inlineStr">
        <is>
          <t>2025-02-01</t>
        </is>
      </c>
      <c r="B3" s="12" t="n">
        <v>2.75</v>
      </c>
      <c r="C3" s="37" t="n">
        <v>1.8</v>
      </c>
      <c r="D3" s="24" t="n">
        <v>1.5</v>
      </c>
      <c r="E3" s="12" t="n">
        <v>1</v>
      </c>
      <c r="F3" s="12" t="n">
        <v>2.5</v>
      </c>
      <c r="G3" s="25" t="n">
        <v>1.2</v>
      </c>
    </row>
    <row r="4">
      <c r="A4" s="18" t="inlineStr">
        <is>
          <t>2025-03-01</t>
        </is>
      </c>
      <c r="B4" s="1" t="n">
        <v>3</v>
      </c>
      <c r="C4" s="36" t="n">
        <v>-0.8</v>
      </c>
      <c r="D4" s="18" t="n">
        <v>0.2</v>
      </c>
      <c r="E4" s="1" t="n">
        <v>-0.5</v>
      </c>
      <c r="F4" s="1" t="n">
        <v>-1</v>
      </c>
      <c r="G4" s="19" t="n">
        <v>-0.3</v>
      </c>
    </row>
    <row r="5" ht="15.5" customHeight="1" s="22" thickBot="1">
      <c r="A5" s="29" t="inlineStr">
        <is>
          <t>2025-04-01</t>
        </is>
      </c>
      <c r="B5" s="30" t="n">
        <v>3.25</v>
      </c>
      <c r="C5" s="38" t="n">
        <v>2</v>
      </c>
      <c r="D5" s="29" t="n">
        <v>2.5</v>
      </c>
      <c r="E5" s="30" t="n">
        <v>1.2</v>
      </c>
      <c r="F5" s="30" t="n">
        <v>3</v>
      </c>
      <c r="G5" s="31" t="n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6" sqref="D6"/>
    </sheetView>
  </sheetViews>
  <sheetFormatPr baseColWidth="8" defaultRowHeight="14.75"/>
  <cols>
    <col width="16.31640625" customWidth="1" style="22" min="1" max="1"/>
    <col width="21.90625" customWidth="1" style="22" min="2" max="2"/>
    <col width="20.1796875" customWidth="1" style="22" min="3" max="3"/>
    <col width="19.58984375" customWidth="1" style="22" min="4" max="4"/>
  </cols>
  <sheetData>
    <row r="1">
      <c r="A1" s="11" t="inlineStr">
        <is>
          <t>Client Priority</t>
        </is>
      </c>
      <c r="B1" s="11" t="inlineStr">
        <is>
          <t>Current Allocation (%)</t>
        </is>
      </c>
      <c r="C1" s="11" t="inlineStr">
        <is>
          <t>Target Allocation (%)</t>
        </is>
      </c>
      <c r="D1" s="11" t="inlineStr">
        <is>
          <t>Adjustment Needed</t>
        </is>
      </c>
    </row>
    <row r="2">
      <c r="A2" s="39" t="inlineStr">
        <is>
          <t>Diversification</t>
        </is>
      </c>
      <c r="B2" s="1" t="n">
        <v>25</v>
      </c>
      <c r="C2" s="1" t="n">
        <v>30</v>
      </c>
      <c r="D2" s="1">
        <f>IF(C2=D2, "No", "Yes")</f>
        <v/>
      </c>
    </row>
    <row r="3">
      <c r="A3" s="23" t="inlineStr">
        <is>
          <t>Sustainability</t>
        </is>
      </c>
      <c r="B3" s="12" t="n">
        <v>20</v>
      </c>
      <c r="C3" s="12" t="n">
        <v>25</v>
      </c>
      <c r="D3" s="12">
        <f>IF(C3=D3, "No", "Yes")</f>
        <v/>
      </c>
    </row>
    <row r="4">
      <c r="A4" s="39" t="inlineStr">
        <is>
          <t>Moderate Growth</t>
        </is>
      </c>
      <c r="B4" s="1" t="n">
        <v>35</v>
      </c>
      <c r="C4" s="1" t="n">
        <v>30</v>
      </c>
      <c r="D4" s="1">
        <f>IF(C4=D4, "No", "Yes")</f>
        <v/>
      </c>
    </row>
    <row r="5">
      <c r="A5" s="23" t="inlineStr">
        <is>
          <t>Risk Mitigation</t>
        </is>
      </c>
      <c r="B5" s="12" t="n">
        <v>20</v>
      </c>
      <c r="C5" s="12" t="n">
        <v>15</v>
      </c>
      <c r="D5" s="12">
        <f>IF(C5=D5, "No", "Yes")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B10" sqref="B10"/>
    </sheetView>
  </sheetViews>
  <sheetFormatPr baseColWidth="8" defaultRowHeight="14.75"/>
  <cols>
    <col width="18.6796875" customWidth="1" style="22" min="2" max="2"/>
    <col width="19.04296875" customWidth="1" style="22" min="3" max="3"/>
    <col width="20.36328125" customWidth="1" style="22" min="4" max="4"/>
    <col width="18.953125" customWidth="1" style="22" min="5" max="5"/>
    <col width="18.6328125" customWidth="1" style="22" min="6" max="6"/>
    <col width="17.76953125" customWidth="1" style="22" min="7" max="7"/>
    <col width="19.08984375" customWidth="1" style="22" min="8" max="8"/>
  </cols>
  <sheetData>
    <row r="1">
      <c r="A1" s="26" t="inlineStr">
        <is>
          <t>Asset</t>
        </is>
      </c>
      <c r="B1" s="27" t="inlineStr">
        <is>
          <t>Allocation (%)</t>
        </is>
      </c>
      <c r="C1" s="27" t="inlineStr">
        <is>
          <t>Historical Return (%)</t>
        </is>
      </c>
      <c r="D1" s="27" t="inlineStr">
        <is>
          <t>Standard Deviation (%)</t>
        </is>
      </c>
      <c r="E1" s="27" t="inlineStr">
        <is>
          <t>Q1 Performance (%)</t>
        </is>
      </c>
      <c r="F1" s="27" t="inlineStr">
        <is>
          <t>Q2 Performance (%)</t>
        </is>
      </c>
      <c r="G1" s="27" t="inlineStr">
        <is>
          <t>Q3 Performance (%)</t>
        </is>
      </c>
      <c r="H1" s="28" t="inlineStr">
        <is>
          <t>Q4 Performance (%)</t>
        </is>
      </c>
    </row>
    <row r="2">
      <c r="A2" s="32" t="inlineStr">
        <is>
          <t>Stock A</t>
        </is>
      </c>
      <c r="B2" s="1" t="n">
        <v>30</v>
      </c>
      <c r="C2" s="1" t="n">
        <v>8</v>
      </c>
      <c r="D2" s="1" t="n">
        <v>15</v>
      </c>
      <c r="E2" s="1" t="n">
        <v>2.5</v>
      </c>
      <c r="F2" s="1" t="n">
        <v>1.8</v>
      </c>
      <c r="G2" s="1" t="n">
        <v>-1</v>
      </c>
      <c r="H2" s="19" t="n">
        <v>3.2</v>
      </c>
    </row>
    <row r="3">
      <c r="A3" s="33" t="inlineStr">
        <is>
          <t>Stock B</t>
        </is>
      </c>
      <c r="B3" s="12" t="n">
        <v>25</v>
      </c>
      <c r="C3" s="12" t="n">
        <v>10</v>
      </c>
      <c r="D3" s="12" t="n">
        <v>18</v>
      </c>
      <c r="E3" s="12" t="n">
        <v>3</v>
      </c>
      <c r="F3" s="12" t="n">
        <v>2.5</v>
      </c>
      <c r="G3" s="12" t="n">
        <v>-0.8</v>
      </c>
      <c r="H3" s="25" t="n">
        <v>4</v>
      </c>
    </row>
    <row r="4">
      <c r="A4" s="32" t="inlineStr">
        <is>
          <t>Stock C</t>
        </is>
      </c>
      <c r="B4" s="1" t="n">
        <v>20</v>
      </c>
      <c r="C4" s="1" t="n">
        <v>12</v>
      </c>
      <c r="D4" s="1" t="n">
        <v>22</v>
      </c>
      <c r="E4" s="1" t="n">
        <v>4.5</v>
      </c>
      <c r="F4" s="1" t="n">
        <v>3.8</v>
      </c>
      <c r="G4" s="1" t="n">
        <v>-2</v>
      </c>
      <c r="H4" s="19" t="n">
        <v>5</v>
      </c>
    </row>
    <row r="5">
      <c r="A5" s="33" t="inlineStr">
        <is>
          <t>Bond A</t>
        </is>
      </c>
      <c r="B5" s="12" t="n">
        <v>15</v>
      </c>
      <c r="C5" s="12" t="n">
        <v>4</v>
      </c>
      <c r="D5" s="12" t="n">
        <v>5</v>
      </c>
      <c r="E5" s="12" t="n">
        <v>1</v>
      </c>
      <c r="F5" s="12" t="n">
        <v>0.9</v>
      </c>
      <c r="G5" s="12" t="n">
        <v>0.5</v>
      </c>
      <c r="H5" s="25" t="n">
        <v>1.2</v>
      </c>
    </row>
    <row r="6" ht="15.5" customHeight="1" s="22" thickBot="1">
      <c r="A6" s="34" t="inlineStr">
        <is>
          <t>Bond B</t>
        </is>
      </c>
      <c r="B6" s="20" t="n">
        <v>10</v>
      </c>
      <c r="C6" s="20" t="n">
        <v>3</v>
      </c>
      <c r="D6" s="20" t="n">
        <v>4</v>
      </c>
      <c r="E6" s="20" t="n">
        <v>0.8</v>
      </c>
      <c r="F6" s="20" t="n">
        <v>0.7</v>
      </c>
      <c r="G6" s="20" t="n">
        <v>0.4</v>
      </c>
      <c r="H6" s="21" t="n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2" sqref="A2:A6"/>
    </sheetView>
  </sheetViews>
  <sheetFormatPr baseColWidth="8" defaultRowHeight="14.75"/>
  <cols>
    <col width="15.26953125" customWidth="1" style="22" min="2" max="2"/>
    <col width="18.81640625" customWidth="1" style="22" min="3" max="3"/>
    <col width="21.08984375" customWidth="1" style="22" min="4" max="4"/>
  </cols>
  <sheetData>
    <row r="1">
      <c r="A1" s="11" t="inlineStr">
        <is>
          <t>Asset</t>
        </is>
      </c>
      <c r="B1" s="11" t="inlineStr">
        <is>
          <t>Allocation (%)</t>
        </is>
      </c>
      <c r="C1" s="11" t="inlineStr">
        <is>
          <t>Historical Return (%)</t>
        </is>
      </c>
      <c r="D1" s="11" t="inlineStr">
        <is>
          <t>Standard Deviation (%)</t>
        </is>
      </c>
    </row>
    <row r="2">
      <c r="A2" s="39" t="inlineStr">
        <is>
          <t>Stock A</t>
        </is>
      </c>
      <c r="B2" s="1" t="n">
        <v>30</v>
      </c>
      <c r="C2" s="1" t="n">
        <v>8</v>
      </c>
      <c r="D2" s="1" t="n">
        <v>15</v>
      </c>
    </row>
    <row r="3">
      <c r="A3" s="23" t="inlineStr">
        <is>
          <t>Stock B</t>
        </is>
      </c>
      <c r="B3" s="12" t="n">
        <v>25</v>
      </c>
      <c r="C3" s="12" t="n">
        <v>10</v>
      </c>
      <c r="D3" s="12" t="n">
        <v>18</v>
      </c>
    </row>
    <row r="4">
      <c r="A4" s="39" t="inlineStr">
        <is>
          <t>Stock C</t>
        </is>
      </c>
      <c r="B4" s="1" t="n">
        <v>20</v>
      </c>
      <c r="C4" s="1" t="n">
        <v>12</v>
      </c>
      <c r="D4" s="1" t="n">
        <v>22</v>
      </c>
    </row>
    <row r="5">
      <c r="A5" s="23" t="inlineStr">
        <is>
          <t>Bond A</t>
        </is>
      </c>
      <c r="B5" s="12" t="n">
        <v>15</v>
      </c>
      <c r="C5" s="12" t="n">
        <v>4</v>
      </c>
      <c r="D5" s="12" t="n">
        <v>5</v>
      </c>
    </row>
    <row r="6">
      <c r="A6" s="39" t="inlineStr">
        <is>
          <t>Bond B</t>
        </is>
      </c>
      <c r="B6" s="1" t="n">
        <v>10</v>
      </c>
      <c r="C6" s="1" t="n">
        <v>3</v>
      </c>
      <c r="D6" s="1" t="n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F17" sqref="F17"/>
    </sheetView>
  </sheetViews>
  <sheetFormatPr baseColWidth="8" defaultRowHeight="14.75"/>
  <cols>
    <col width="21.6796875" customWidth="1" style="22" min="1" max="1"/>
    <col width="16.54296875" customWidth="1" style="22" min="2" max="2"/>
  </cols>
  <sheetData>
    <row r="1">
      <c r="A1" s="26" t="inlineStr">
        <is>
          <t>Metric</t>
        </is>
      </c>
      <c r="B1" s="28" t="inlineStr">
        <is>
          <t>Value</t>
        </is>
      </c>
    </row>
    <row r="2">
      <c r="A2" s="32" t="inlineStr">
        <is>
          <t>Total Portfolio Value</t>
        </is>
      </c>
      <c r="B2" s="49" t="n">
        <v>1000000</v>
      </c>
    </row>
    <row r="3">
      <c r="A3" s="33" t="inlineStr">
        <is>
          <t>Average Return</t>
        </is>
      </c>
      <c r="B3" s="44" t="n">
        <v>0.08500000000000001</v>
      </c>
    </row>
    <row r="4" ht="15.5" customHeight="1" s="22" thickBot="1">
      <c r="A4" s="34" t="inlineStr">
        <is>
          <t>Portfolio Volatility</t>
        </is>
      </c>
      <c r="B4" s="45" t="n">
        <v>0.14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1" sqref="B21"/>
    </sheetView>
  </sheetViews>
  <sheetFormatPr baseColWidth="8" defaultRowHeight="14.75"/>
  <cols>
    <col width="16.6796875" customWidth="1" style="22" min="1" max="1"/>
    <col width="70" customWidth="1" style="22" min="2" max="2"/>
  </cols>
  <sheetData>
    <row r="1">
      <c r="A1" s="46" t="inlineStr">
        <is>
          <t>Term</t>
        </is>
      </c>
      <c r="B1" s="17" t="inlineStr">
        <is>
          <t>Definition</t>
        </is>
      </c>
    </row>
    <row r="2">
      <c r="A2" s="32" t="inlineStr">
        <is>
          <t>Volatility</t>
        </is>
      </c>
      <c r="B2" s="19" t="inlineStr">
        <is>
          <t>A measure of the price variation of a financial instrument over time.</t>
        </is>
      </c>
    </row>
    <row r="3">
      <c r="A3" s="33" t="inlineStr">
        <is>
          <t>Diversification</t>
        </is>
      </c>
      <c r="B3" s="25" t="inlineStr">
        <is>
          <t>The process of spreading investments across various assets to reduce risk.</t>
        </is>
      </c>
    </row>
    <row r="4">
      <c r="A4" s="32" t="inlineStr">
        <is>
          <t>Standard Deviation</t>
        </is>
      </c>
      <c r="B4" s="19" t="inlineStr">
        <is>
          <t>A statistical measure of the dispersion of returns for a given investment.</t>
        </is>
      </c>
    </row>
    <row r="5" ht="36" customHeight="1" s="22">
      <c r="A5" s="32" t="inlineStr">
        <is>
          <t>Sector Return</t>
        </is>
      </c>
      <c r="B5" s="50" t="inlineStr">
        <is>
          <t>The percentage change in a sector over a stated period. Positive values indicate gains; negative values indicate declines.</t>
        </is>
      </c>
    </row>
    <row r="6">
      <c r="A6" s="47" t="inlineStr">
        <is>
          <t>Excel Function</t>
        </is>
      </c>
      <c r="B6" s="48" t="inlineStr">
        <is>
          <t>Usage</t>
        </is>
      </c>
    </row>
    <row r="7">
      <c r="A7" s="32" t="inlineStr">
        <is>
          <t>AVERAGE</t>
        </is>
      </c>
      <c r="B7" s="19" t="inlineStr">
        <is>
          <t>Calculates the mean of a range of numbers.</t>
        </is>
      </c>
    </row>
    <row r="8">
      <c r="A8" s="33" t="inlineStr">
        <is>
          <t>STDEV</t>
        </is>
      </c>
      <c r="B8" s="25" t="inlineStr">
        <is>
          <t>Measures the standard deviation of a range of numbers.</t>
        </is>
      </c>
    </row>
    <row r="9" ht="15.5" customHeight="1" s="22" thickBot="1">
      <c r="A9" s="34" t="inlineStr">
        <is>
          <t>VLOOKUP</t>
        </is>
      </c>
      <c r="B9" s="21" t="inlineStr">
        <is>
          <t>Finds values in a table based on a key value.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2025-01-09T00:14:31Z</dcterms:created>
  <dcterms:modified xmlns:dcterms="http://purl.org/dc/terms/" xmlns:xsi="http://www.w3.org/2001/XMLSchema-instance" xsi:type="dcterms:W3CDTF">2026-09-28T20:55:16Z</dcterms:modified>
  <cp:lastModifiedBy>Dodson, Jessika</cp:lastModifiedBy>
</cp:coreProperties>
</file>